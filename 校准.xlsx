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OneDrive - HKUST Connect\RM25 HW\RM2025-PowerControlBoard-Hardware\"/>
    </mc:Choice>
  </mc:AlternateContent>
  <xr:revisionPtr revIDLastSave="0" documentId="13_ncr:1_{E10CD1D6-F930-425D-A44A-7D720ECA0DB8}" xr6:coauthVersionLast="47" xr6:coauthVersionMax="47" xr10:uidLastSave="{00000000-0000-0000-0000-000000000000}"/>
  <bookViews>
    <workbookView xWindow="6382" yWindow="0" windowWidth="17701" windowHeight="14362" xr2:uid="{00000000-000D-0000-FFFF-FFFF00000000}"/>
  </bookViews>
  <sheets>
    <sheet name="Sheet1" sheetId="1" r:id="rId1"/>
    <sheet name="Sheet1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C10" i="1"/>
  <c r="B10" i="1"/>
  <c r="I3" i="1"/>
  <c r="I4" i="1"/>
  <c r="I5" i="1"/>
  <c r="I6" i="1"/>
  <c r="I7" i="1"/>
  <c r="I2" i="1"/>
  <c r="F3" i="3"/>
  <c r="F4" i="3"/>
  <c r="F5" i="3"/>
  <c r="F6" i="3"/>
  <c r="F7" i="3"/>
  <c r="F2" i="3"/>
  <c r="B19" i="3"/>
  <c r="C19" i="3"/>
  <c r="I10" i="1" l="1"/>
  <c r="H10" i="1"/>
  <c r="F19" i="3"/>
  <c r="E19" i="3"/>
</calcChain>
</file>

<file path=xl/sharedStrings.xml><?xml version="1.0" encoding="utf-8"?>
<sst xmlns="http://schemas.openxmlformats.org/spreadsheetml/2006/main" count="11" uniqueCount="6">
  <si>
    <t>ADC</t>
    <phoneticPr fontId="1" type="noConversion"/>
  </si>
  <si>
    <t>IA</t>
    <phoneticPr fontId="1" type="noConversion"/>
  </si>
  <si>
    <t>VA/VB</t>
    <phoneticPr fontId="1" type="noConversion"/>
  </si>
  <si>
    <t>IA/IB</t>
    <phoneticPr fontId="1" type="noConversion"/>
  </si>
  <si>
    <t>IR</t>
    <phoneticPr fontId="1" type="noConversion"/>
  </si>
  <si>
    <t xml:space="preserve">iA[0] iR[1] vA[2] iB[3] vB[4] iWPT[5] vWPT[6]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</si>
</sst>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Sheet1!$B$2:$B$7</c:f>
              <c:numCache>
                <c:formatCode>General</c:formatCode>
                <c:ptCount val="6"/>
                <c:pt idx="0">
                  <c:v>8112.5</c:v>
                </c:pt>
                <c:pt idx="1">
                  <c:v>8227</c:v>
                </c:pt>
                <c:pt idx="2">
                  <c:v>8339.6</c:v>
                </c:pt>
                <c:pt idx="3">
                  <c:v>8451.6</c:v>
                </c:pt>
                <c:pt idx="4">
                  <c:v>8563.6</c:v>
                </c:pt>
                <c:pt idx="5">
                  <c:v>8676.5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CD-43F6-9B49-63F6AA9FD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76784"/>
        <c:axId val="404377264"/>
      </c:scatterChart>
      <c:valAx>
        <c:axId val="40437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377264"/>
        <c:crosses val="autoZero"/>
        <c:crossBetween val="midCat"/>
      </c:valAx>
      <c:valAx>
        <c:axId val="40437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37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Sheet1!$E$2:$E$7</c:f>
              <c:numCache>
                <c:formatCode>General</c:formatCode>
                <c:ptCount val="6"/>
                <c:pt idx="0">
                  <c:v>4166.8</c:v>
                </c:pt>
                <c:pt idx="1">
                  <c:v>5561</c:v>
                </c:pt>
                <c:pt idx="2">
                  <c:v>6965</c:v>
                </c:pt>
                <c:pt idx="3">
                  <c:v>8365</c:v>
                </c:pt>
                <c:pt idx="4">
                  <c:v>9064.5</c:v>
                </c:pt>
                <c:pt idx="5">
                  <c:v>9767</c:v>
                </c:pt>
              </c:numCache>
            </c:numRef>
          </c:xVal>
          <c:yVal>
            <c:numRef>
              <c:f>Sheet1!$F$2:$F$7</c:f>
              <c:numCache>
                <c:formatCode>General</c:formatCode>
                <c:ptCount val="6"/>
                <c:pt idx="0">
                  <c:v>12</c:v>
                </c:pt>
                <c:pt idx="1">
                  <c:v>16</c:v>
                </c:pt>
                <c:pt idx="2">
                  <c:v>20</c:v>
                </c:pt>
                <c:pt idx="3">
                  <c:v>24</c:v>
                </c:pt>
                <c:pt idx="4">
                  <c:v>26</c:v>
                </c:pt>
                <c:pt idx="5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6-4379-ABD5-69763BA6B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732224"/>
        <c:axId val="1005732704"/>
      </c:scatterChart>
      <c:valAx>
        <c:axId val="10057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5732704"/>
        <c:crosses val="autoZero"/>
        <c:crossBetween val="midCat"/>
      </c:valAx>
      <c:valAx>
        <c:axId val="10057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573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Sheet1!$H$2:$H$7</c:f>
              <c:numCache>
                <c:formatCode>General</c:formatCode>
                <c:ptCount val="6"/>
                <c:pt idx="0">
                  <c:v>8120.87</c:v>
                </c:pt>
                <c:pt idx="1">
                  <c:v>8006.5</c:v>
                </c:pt>
                <c:pt idx="2">
                  <c:v>7895.3</c:v>
                </c:pt>
                <c:pt idx="3">
                  <c:v>7724.4</c:v>
                </c:pt>
                <c:pt idx="4">
                  <c:v>7527.7</c:v>
                </c:pt>
                <c:pt idx="5">
                  <c:v>7444.3</c:v>
                </c:pt>
              </c:numCache>
            </c:numRef>
          </c:xVal>
          <c:yVal>
            <c:numRef>
              <c:f>Sheet1!$I$2:$I$7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20-4A82-83A9-CF4554257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1808"/>
        <c:axId val="599858688"/>
      </c:scatterChart>
      <c:valAx>
        <c:axId val="59983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858688"/>
        <c:crosses val="autoZero"/>
        <c:crossBetween val="midCat"/>
      </c:valAx>
      <c:valAx>
        <c:axId val="5998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983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'Sheet1 (2)'!$B$2:$B$9</c:f>
              <c:numCache>
                <c:formatCode>General</c:formatCode>
                <c:ptCount val="8"/>
                <c:pt idx="0">
                  <c:v>9826</c:v>
                </c:pt>
                <c:pt idx="1">
                  <c:v>9122</c:v>
                </c:pt>
                <c:pt idx="2">
                  <c:v>8418</c:v>
                </c:pt>
                <c:pt idx="3">
                  <c:v>7712</c:v>
                </c:pt>
                <c:pt idx="4">
                  <c:v>7010</c:v>
                </c:pt>
                <c:pt idx="5">
                  <c:v>6307</c:v>
                </c:pt>
                <c:pt idx="6">
                  <c:v>5603</c:v>
                </c:pt>
                <c:pt idx="7">
                  <c:v>4899</c:v>
                </c:pt>
              </c:numCache>
            </c:numRef>
          </c:xVal>
          <c:yVal>
            <c:numRef>
              <c:f>'Sheet1 (2)'!$D$2:$D$9</c:f>
              <c:numCache>
                <c:formatCode>General</c:formatCode>
                <c:ptCount val="8"/>
                <c:pt idx="0">
                  <c:v>28</c:v>
                </c:pt>
                <c:pt idx="1">
                  <c:v>26</c:v>
                </c:pt>
                <c:pt idx="2">
                  <c:v>24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16</c:v>
                </c:pt>
                <c:pt idx="7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FE-446E-A531-F965E2BF2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376784"/>
        <c:axId val="404377264"/>
      </c:scatterChart>
      <c:valAx>
        <c:axId val="40437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377264"/>
        <c:crosses val="autoZero"/>
        <c:crossBetween val="midCat"/>
      </c:valAx>
      <c:valAx>
        <c:axId val="40437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437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'Sheet1 (2)'!$E$2:$E$7</c:f>
              <c:numCache>
                <c:formatCode>General</c:formatCode>
                <c:ptCount val="6"/>
                <c:pt idx="0">
                  <c:v>8138</c:v>
                </c:pt>
                <c:pt idx="1">
                  <c:v>8255</c:v>
                </c:pt>
                <c:pt idx="2">
                  <c:v>8580</c:v>
                </c:pt>
                <c:pt idx="3">
                  <c:v>8995</c:v>
                </c:pt>
                <c:pt idx="4">
                  <c:v>9656</c:v>
                </c:pt>
                <c:pt idx="5">
                  <c:v>10272</c:v>
                </c:pt>
              </c:numCache>
            </c:numRef>
          </c:xVal>
          <c:yVal>
            <c:numRef>
              <c:f>'Sheet1 (2)'!$F$2:$F$7</c:f>
              <c:numCache>
                <c:formatCode>General</c:formatCode>
                <c:ptCount val="6"/>
                <c:pt idx="0">
                  <c:v>3.2000000000000001E-2</c:v>
                </c:pt>
                <c:pt idx="1">
                  <c:v>0.24800000000000003</c:v>
                </c:pt>
                <c:pt idx="2">
                  <c:v>0.83799999999999997</c:v>
                </c:pt>
                <c:pt idx="3">
                  <c:v>1.5840000000000001</c:v>
                </c:pt>
                <c:pt idx="4">
                  <c:v>2.786</c:v>
                </c:pt>
                <c:pt idx="5">
                  <c:v>3.9080000000000004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EE-4FDE-B3C8-5FD5CA7FE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732224"/>
        <c:axId val="1005732704"/>
      </c:scatterChart>
      <c:valAx>
        <c:axId val="10057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5732704"/>
        <c:crosses val="autoZero"/>
        <c:crossBetween val="midCat"/>
      </c:valAx>
      <c:valAx>
        <c:axId val="10057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573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149211</xdr:colOff>
      <xdr:row>11</xdr:row>
      <xdr:rowOff>119264</xdr:rowOff>
    </xdr:from>
    <xdr:to>
      <xdr:col>3</xdr:col>
      <xdr:colOff>597331</xdr:colOff>
      <xdr:row>27</xdr:row>
      <xdr:rowOff>43064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377BB30-4533-F896-E62B-D44C8E656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669979</xdr:colOff>
      <xdr:row>11</xdr:row>
      <xdr:rowOff>110064</xdr:rowOff>
    </xdr:from>
    <xdr:to>
      <xdr:col>7</xdr:col>
      <xdr:colOff>209872</xdr:colOff>
      <xdr:row>27</xdr:row>
      <xdr:rowOff>33864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FD8DC3E-5BEB-1D0D-2316-EBA5359C1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264764</xdr:colOff>
      <xdr:row>12</xdr:row>
      <xdr:rowOff>4681</xdr:rowOff>
    </xdr:from>
    <xdr:to>
      <xdr:col>11</xdr:col>
      <xdr:colOff>403603</xdr:colOff>
      <xdr:row>27</xdr:row>
      <xdr:rowOff>84110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05F4829-1B99-EBAA-5AC1-AA609AB68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232046</xdr:colOff>
      <xdr:row>28</xdr:row>
      <xdr:rowOff>21869</xdr:rowOff>
    </xdr:from>
    <xdr:to>
      <xdr:col>5</xdr:col>
      <xdr:colOff>325544</xdr:colOff>
      <xdr:row>43</xdr:row>
      <xdr:rowOff>124786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ACDB589-945F-4314-8082-298207F33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398703</xdr:colOff>
      <xdr:row>28</xdr:row>
      <xdr:rowOff>24539</xdr:rowOff>
    </xdr:from>
    <xdr:to>
      <xdr:col>11</xdr:col>
      <xdr:colOff>573259</xdr:colOff>
      <xdr:row>43</xdr:row>
      <xdr:rowOff>124550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D0B7F80-E5DA-48D3-AB3C-5F10DF1EC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9"/>
  <sheetViews>
    <sheetView tabSelected="1" zoomScale="118" workbookViewId="0">
      <selection activeCell="C11" sqref="C11"/>
    </sheetView>
  </sheetViews>
  <sheetFormatPr defaultRowHeight="14.25" x14ac:dyDescent="0.45"/>
  <cols>
    <col min="1" max="1" width="9.06640625" style="2"/>
    <col min="2" max="15" width="9.46484375" style="2" customWidth="1"/>
    <col min="16" max="16384" width="9.06640625" style="2"/>
  </cols>
  <sheetData>
    <row r="1" spans="2:9" x14ac:dyDescent="0.45">
      <c r="B1" s="2" t="s">
        <v>0</v>
      </c>
      <c r="C1" s="2" t="s">
        <v>3</v>
      </c>
      <c r="E1" s="2" t="s">
        <v>0</v>
      </c>
      <c r="F1" s="2" t="s">
        <v>2</v>
      </c>
      <c r="H1" s="2" t="s">
        <v>0</v>
      </c>
      <c r="I1" s="2" t="s">
        <v>4</v>
      </c>
    </row>
    <row r="2" spans="2:9" x14ac:dyDescent="0.45">
      <c r="B2" s="2">
        <v>8112.5</v>
      </c>
      <c r="C2" s="2">
        <v>0</v>
      </c>
      <c r="E2" s="2">
        <v>4166.8</v>
      </c>
      <c r="F2" s="2">
        <v>12</v>
      </c>
      <c r="H2" s="2">
        <v>8120.87</v>
      </c>
      <c r="I2" s="2">
        <f>C2</f>
        <v>0</v>
      </c>
    </row>
    <row r="3" spans="2:9" x14ac:dyDescent="0.45">
      <c r="B3" s="2">
        <v>8227</v>
      </c>
      <c r="C3" s="2">
        <v>0.5</v>
      </c>
      <c r="E3" s="2">
        <v>5561</v>
      </c>
      <c r="F3" s="2">
        <v>16</v>
      </c>
      <c r="H3" s="2">
        <v>8006.5</v>
      </c>
      <c r="I3" s="2">
        <f t="shared" ref="I3:I7" si="0">C3</f>
        <v>0.5</v>
      </c>
    </row>
    <row r="4" spans="2:9" x14ac:dyDescent="0.45">
      <c r="B4" s="2">
        <v>8339.6</v>
      </c>
      <c r="C4" s="2">
        <v>1</v>
      </c>
      <c r="E4" s="2">
        <v>6965</v>
      </c>
      <c r="F4" s="2">
        <v>20</v>
      </c>
      <c r="H4" s="2">
        <v>7895.3</v>
      </c>
      <c r="I4" s="2">
        <f t="shared" si="0"/>
        <v>1</v>
      </c>
    </row>
    <row r="5" spans="2:9" x14ac:dyDescent="0.45">
      <c r="B5" s="2">
        <v>8451.6</v>
      </c>
      <c r="C5" s="2">
        <v>1.5</v>
      </c>
      <c r="E5" s="2">
        <v>8365</v>
      </c>
      <c r="F5" s="2">
        <v>24</v>
      </c>
      <c r="H5" s="2">
        <v>7724.4</v>
      </c>
      <c r="I5" s="2">
        <f t="shared" si="0"/>
        <v>1.5</v>
      </c>
    </row>
    <row r="6" spans="2:9" x14ac:dyDescent="0.45">
      <c r="B6" s="2">
        <v>8563.6</v>
      </c>
      <c r="C6" s="2">
        <v>2</v>
      </c>
      <c r="E6" s="2">
        <v>9064.5</v>
      </c>
      <c r="F6" s="2">
        <v>26</v>
      </c>
      <c r="H6" s="2">
        <v>7527.7</v>
      </c>
      <c r="I6" s="2">
        <f t="shared" si="0"/>
        <v>2</v>
      </c>
    </row>
    <row r="7" spans="2:9" x14ac:dyDescent="0.45">
      <c r="B7" s="2">
        <v>8676.5</v>
      </c>
      <c r="C7" s="2">
        <v>2.5</v>
      </c>
      <c r="E7" s="2">
        <v>9767</v>
      </c>
      <c r="F7" s="2">
        <v>28</v>
      </c>
      <c r="H7" s="2">
        <v>7444.3</v>
      </c>
      <c r="I7" s="2">
        <f t="shared" si="0"/>
        <v>2.5</v>
      </c>
    </row>
    <row r="10" spans="2:9" x14ac:dyDescent="0.45">
      <c r="B10" s="2">
        <f>SLOPE(C2:C7,B2:B7)</f>
        <v>4.4395424376767875E-3</v>
      </c>
      <c r="C10" s="2">
        <f>INTERCEPT(C2:C7,B2:B7)</f>
        <v>-36.020550703288322</v>
      </c>
      <c r="E10" s="2">
        <f>SLOPE(F2:F7,E2:E7)</f>
        <v>2.8564829302819375E-3</v>
      </c>
      <c r="F10" s="2">
        <f>INTERCEPT(F2:F7,E2:E7)</f>
        <v>0.10516062132949244</v>
      </c>
      <c r="H10" s="2">
        <f>SLOPE(I2:I7,H2:H7)</f>
        <v>-3.4656185106124392E-3</v>
      </c>
      <c r="I10" s="2">
        <f>INTERCEPT(I2:I7,H2:H7)</f>
        <v>28.235078965099714</v>
      </c>
    </row>
    <row r="11" spans="2:9" x14ac:dyDescent="0.45">
      <c r="B11" s="2">
        <v>4.4395424376767875E-3</v>
      </c>
      <c r="C11" s="2">
        <v>-36.020550703288301</v>
      </c>
      <c r="E11" s="2">
        <v>2.8564829302819375E-3</v>
      </c>
      <c r="F11" s="2">
        <v>0.105160621329492</v>
      </c>
      <c r="H11" s="2">
        <v>-4.4129434952936333E-3</v>
      </c>
      <c r="I11" s="2">
        <v>35.881936010444647</v>
      </c>
    </row>
    <row r="29" spans="2:2" x14ac:dyDescent="0.45">
      <c r="B29" s="2" t="s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74CC-6E9F-4C74-88CD-B04706FCCA5B}">
  <dimension ref="B1:G22"/>
  <sheetViews>
    <sheetView topLeftCell="E1" zoomScale="115" zoomScaleNormal="70" workbookViewId="0">
      <selection activeCell="F19" sqref="F19"/>
    </sheetView>
  </sheetViews>
  <sheetFormatPr defaultRowHeight="13.9" x14ac:dyDescent="0.4"/>
  <cols>
    <col min="2" max="2" width="25.33203125" customWidth="1"/>
    <col min="3" max="3" width="19.19921875" customWidth="1"/>
    <col min="5" max="5" width="18.59765625" customWidth="1"/>
    <col min="6" max="6" width="16.19921875" customWidth="1"/>
  </cols>
  <sheetData>
    <row r="1" spans="2:7" x14ac:dyDescent="0.4">
      <c r="B1" t="s">
        <v>0</v>
      </c>
      <c r="C1" t="s">
        <v>1</v>
      </c>
      <c r="E1" t="s">
        <v>0</v>
      </c>
      <c r="F1" t="s">
        <v>1</v>
      </c>
    </row>
    <row r="2" spans="2:7" x14ac:dyDescent="0.4">
      <c r="B2">
        <v>9826</v>
      </c>
      <c r="C2">
        <v>10</v>
      </c>
      <c r="D2">
        <v>28</v>
      </c>
      <c r="E2">
        <v>8138</v>
      </c>
      <c r="F2">
        <f>G2-0.022</f>
        <v>3.2000000000000001E-2</v>
      </c>
      <c r="G2">
        <v>5.3999999999999999E-2</v>
      </c>
    </row>
    <row r="3" spans="2:7" x14ac:dyDescent="0.4">
      <c r="B3">
        <v>9122</v>
      </c>
      <c r="C3">
        <v>14</v>
      </c>
      <c r="D3">
        <v>26</v>
      </c>
      <c r="E3">
        <v>8255</v>
      </c>
      <c r="F3">
        <f t="shared" ref="F3:F7" si="0">G3-0.022</f>
        <v>0.24800000000000003</v>
      </c>
      <c r="G3">
        <v>0.27</v>
      </c>
    </row>
    <row r="4" spans="2:7" x14ac:dyDescent="0.4">
      <c r="B4">
        <v>8418</v>
      </c>
      <c r="C4">
        <v>18</v>
      </c>
      <c r="D4">
        <v>24</v>
      </c>
      <c r="E4">
        <v>8580</v>
      </c>
      <c r="F4">
        <f t="shared" si="0"/>
        <v>0.83799999999999997</v>
      </c>
      <c r="G4">
        <v>0.86</v>
      </c>
    </row>
    <row r="5" spans="2:7" x14ac:dyDescent="0.4">
      <c r="B5">
        <v>7712</v>
      </c>
      <c r="C5">
        <v>22</v>
      </c>
      <c r="D5">
        <v>22</v>
      </c>
      <c r="E5">
        <v>8995</v>
      </c>
      <c r="F5">
        <f t="shared" si="0"/>
        <v>1.5840000000000001</v>
      </c>
      <c r="G5">
        <v>1.6060000000000001</v>
      </c>
    </row>
    <row r="6" spans="2:7" x14ac:dyDescent="0.4">
      <c r="B6">
        <v>7010</v>
      </c>
      <c r="C6">
        <v>24</v>
      </c>
      <c r="D6">
        <v>20</v>
      </c>
      <c r="E6">
        <v>9656</v>
      </c>
      <c r="F6">
        <f t="shared" si="0"/>
        <v>2.786</v>
      </c>
      <c r="G6">
        <v>2.8079999999999998</v>
      </c>
    </row>
    <row r="7" spans="2:7" x14ac:dyDescent="0.4">
      <c r="B7">
        <v>6307</v>
      </c>
      <c r="C7">
        <v>28</v>
      </c>
      <c r="D7">
        <v>18</v>
      </c>
      <c r="E7">
        <v>10272</v>
      </c>
      <c r="F7">
        <f t="shared" si="0"/>
        <v>3.9080000000000004</v>
      </c>
      <c r="G7">
        <v>3.93</v>
      </c>
    </row>
    <row r="8" spans="2:7" x14ac:dyDescent="0.4">
      <c r="B8">
        <v>5603</v>
      </c>
      <c r="D8">
        <v>16</v>
      </c>
    </row>
    <row r="9" spans="2:7" x14ac:dyDescent="0.4">
      <c r="B9">
        <v>4899</v>
      </c>
      <c r="D9">
        <v>14</v>
      </c>
    </row>
    <row r="19" spans="2:6" x14ac:dyDescent="0.4">
      <c r="B19">
        <f>SLOPE(D2:D13,B2:B13)</f>
        <v>2.8417253061318935E-3</v>
      </c>
      <c r="C19">
        <f>INTERCEPT(D2:D13,B2:B13)</f>
        <v>7.886308059373448E-2</v>
      </c>
      <c r="E19">
        <f>SLOPE(F2:F7,E2:E7)</f>
        <v>1.814601373052477E-3</v>
      </c>
      <c r="F19">
        <f>INTERCEPT(F2:F7,E2:E7)</f>
        <v>-14.733959267006048</v>
      </c>
    </row>
    <row r="20" spans="2:6" x14ac:dyDescent="0.4">
      <c r="B20">
        <v>2.84172530613189E-3</v>
      </c>
      <c r="C20">
        <v>7.8863080593734494E-2</v>
      </c>
      <c r="E20">
        <v>1.8146013730524801E-3</v>
      </c>
      <c r="F20">
        <v>-14.733959267006</v>
      </c>
    </row>
    <row r="22" spans="2:6" x14ac:dyDescent="0.4">
      <c r="B2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ziming xian</dc:creator>
  <cp:lastModifiedBy>XIAN Ziming</cp:lastModifiedBy>
  <dcterms:created xsi:type="dcterms:W3CDTF">2015-06-05T18:19:34Z</dcterms:created>
  <dcterms:modified xsi:type="dcterms:W3CDTF">2025-07-10T09:25:04Z</dcterms:modified>
</cp:coreProperties>
</file>